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Atividades Executadas\Escritorio\MR-JE-C_CCLink_IEField_Basic\"/>
    </mc:Choice>
  </mc:AlternateContent>
  <xr:revisionPtr revIDLastSave="0" documentId="13_ncr:1_{8304DAB4-243B-4867-BFD1-25CBEC1127FD}" xr6:coauthVersionLast="47" xr6:coauthVersionMax="47" xr10:uidLastSave="{00000000-0000-0000-0000-000000000000}"/>
  <bookViews>
    <workbookView xWindow="3828" yWindow="1776" windowWidth="17280" windowHeight="8712" activeTab="2" xr2:uid="{003BA16C-43B7-4EDB-A3D4-7B2566E337C0}"/>
  </bookViews>
  <sheets>
    <sheet name="Bits" sheetId="1" r:id="rId1"/>
    <sheet name="Words" sheetId="2" r:id="rId2"/>
    <sheet name="Bits + Words" sheetId="3" r:id="rId3"/>
    <sheet name="Cola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F4" i="4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G3" i="4" s="1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I3" i="3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C3" i="2"/>
  <c r="B4" i="2"/>
  <c r="C4" i="2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B4" i="1"/>
  <c r="B5" i="1" s="1"/>
  <c r="C3" i="1"/>
  <c r="B4" i="3"/>
  <c r="C4" i="3" s="1"/>
  <c r="E3" i="3"/>
  <c r="E4" i="3" s="1"/>
  <c r="D3" i="3"/>
  <c r="D4" i="3" s="1"/>
  <c r="J3" i="3" l="1"/>
  <c r="B5" i="2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B6" i="1"/>
  <c r="C5" i="1"/>
  <c r="C4" i="1"/>
  <c r="B5" i="3"/>
  <c r="D5" i="3"/>
  <c r="E5" i="3"/>
  <c r="K3" i="3" l="1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B6" i="2"/>
  <c r="C5" i="2"/>
  <c r="B7" i="1"/>
  <c r="C6" i="1"/>
  <c r="B6" i="3"/>
  <c r="C5" i="3"/>
  <c r="E6" i="3"/>
  <c r="D6" i="3"/>
  <c r="B7" i="2" l="1"/>
  <c r="C6" i="2"/>
  <c r="B8" i="1"/>
  <c r="C7" i="1"/>
  <c r="B7" i="3"/>
  <c r="C6" i="3"/>
  <c r="D7" i="3"/>
  <c r="E7" i="3"/>
  <c r="B8" i="2" l="1"/>
  <c r="C7" i="2"/>
  <c r="B9" i="1"/>
  <c r="C8" i="1"/>
  <c r="B8" i="3"/>
  <c r="C7" i="3"/>
  <c r="E8" i="3"/>
  <c r="D8" i="3"/>
  <c r="B9" i="2" l="1"/>
  <c r="C8" i="2"/>
  <c r="B10" i="1"/>
  <c r="C9" i="1"/>
  <c r="B9" i="3"/>
  <c r="C8" i="3"/>
  <c r="D9" i="3"/>
  <c r="E9" i="3"/>
  <c r="B10" i="2" l="1"/>
  <c r="C9" i="2"/>
  <c r="B11" i="1"/>
  <c r="C10" i="1"/>
  <c r="C9" i="3"/>
  <c r="B10" i="3"/>
  <c r="E10" i="3"/>
  <c r="D10" i="3"/>
  <c r="B11" i="2" l="1"/>
  <c r="C10" i="2"/>
  <c r="B12" i="1"/>
  <c r="C11" i="1"/>
  <c r="B11" i="3"/>
  <c r="C10" i="3"/>
  <c r="D11" i="3"/>
  <c r="E11" i="3"/>
  <c r="B12" i="2" l="1"/>
  <c r="C11" i="2"/>
  <c r="B13" i="1"/>
  <c r="C12" i="1"/>
  <c r="C11" i="3"/>
  <c r="B12" i="3"/>
  <c r="E12" i="3"/>
  <c r="D12" i="3"/>
  <c r="B13" i="2" l="1"/>
  <c r="C12" i="2"/>
  <c r="B14" i="1"/>
  <c r="C13" i="1"/>
  <c r="C12" i="3"/>
  <c r="B13" i="3"/>
  <c r="D13" i="3"/>
  <c r="E13" i="3"/>
  <c r="B14" i="2" l="1"/>
  <c r="C13" i="2"/>
  <c r="B15" i="1"/>
  <c r="C14" i="1"/>
  <c r="C13" i="3"/>
  <c r="B14" i="3"/>
  <c r="E14" i="3"/>
  <c r="D14" i="3"/>
  <c r="B15" i="2" l="1"/>
  <c r="C14" i="2"/>
  <c r="B16" i="1"/>
  <c r="C15" i="1"/>
  <c r="C14" i="3"/>
  <c r="B15" i="3"/>
  <c r="D15" i="3"/>
  <c r="E15" i="3"/>
  <c r="B16" i="2" l="1"/>
  <c r="C15" i="2"/>
  <c r="B17" i="1"/>
  <c r="C16" i="1"/>
  <c r="B16" i="3"/>
  <c r="C15" i="3"/>
  <c r="D16" i="3"/>
  <c r="E16" i="3"/>
  <c r="B17" i="2" l="1"/>
  <c r="C16" i="2"/>
  <c r="B18" i="1"/>
  <c r="C17" i="1"/>
  <c r="B17" i="3"/>
  <c r="C16" i="3"/>
  <c r="E17" i="3"/>
  <c r="D17" i="3"/>
  <c r="B18" i="2" l="1"/>
  <c r="C18" i="2" s="1"/>
  <c r="C19" i="2" s="1"/>
  <c r="C17" i="2"/>
  <c r="B19" i="1"/>
  <c r="C18" i="1"/>
  <c r="C17" i="3"/>
  <c r="B18" i="3"/>
  <c r="D18" i="3"/>
  <c r="E18" i="3"/>
  <c r="B19" i="3" l="1"/>
  <c r="B19" i="2"/>
  <c r="D19" i="3"/>
  <c r="C19" i="1"/>
  <c r="C18" i="3"/>
  <c r="C19" i="3" l="1"/>
  <c r="E19" i="3"/>
</calcChain>
</file>

<file path=xl/sharedStrings.xml><?xml version="1.0" encoding="utf-8"?>
<sst xmlns="http://schemas.openxmlformats.org/spreadsheetml/2006/main" count="44" uniqueCount="10">
  <si>
    <t>Estação</t>
  </si>
  <si>
    <t>Rx</t>
  </si>
  <si>
    <t>Ry</t>
  </si>
  <si>
    <t>RWr</t>
  </si>
  <si>
    <t>RWw</t>
  </si>
  <si>
    <t>END</t>
  </si>
  <si>
    <t>HEXA DEVICES (B)</t>
  </si>
  <si>
    <t>DECIMAL DEVICES (D,R)</t>
  </si>
  <si>
    <t>HEXA DEVICES (W)</t>
  </si>
  <si>
    <t>DECIMAL DEVICES (M,L)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</si>
</sst>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EF7B-ECFF-4012-B75E-A4BF501489EC}">
  <dimension ref="A1:K37"/>
  <sheetViews>
    <sheetView workbookViewId="0">
      <selection activeCell="G3" sqref="G3:G18"/>
    </sheetView>
  </sheetViews>
  <sheetFormatPr defaultRowHeight="14.4" x14ac:dyDescent="0.3"/>
  <cols>
    <col min="3" max="3" width="9.44140625" customWidth="1"/>
    <col min="4" max="4" width="8.109375" customWidth="1"/>
  </cols>
  <sheetData>
    <row r="1" spans="1:11" x14ac:dyDescent="0.3">
      <c r="A1" s="7" t="s">
        <v>9</v>
      </c>
      <c r="B1" s="7"/>
      <c r="C1" s="7"/>
      <c r="E1" s="7" t="s">
        <v>6</v>
      </c>
      <c r="F1" s="7"/>
      <c r="G1" s="7"/>
    </row>
    <row r="2" spans="1:11" x14ac:dyDescent="0.3">
      <c r="A2" s="3" t="s">
        <v>0</v>
      </c>
      <c r="B2" s="3" t="s">
        <v>1</v>
      </c>
      <c r="C2" s="3" t="s">
        <v>2</v>
      </c>
      <c r="D2" s="1"/>
      <c r="E2" s="3" t="s">
        <v>0</v>
      </c>
      <c r="F2" s="3" t="s">
        <v>1</v>
      </c>
      <c r="G2" s="3" t="s">
        <v>2</v>
      </c>
      <c r="H2" s="1"/>
      <c r="I2" s="1"/>
      <c r="J2" s="1"/>
      <c r="K2" s="1"/>
    </row>
    <row r="3" spans="1:11" x14ac:dyDescent="0.3">
      <c r="A3" s="4">
        <v>1</v>
      </c>
      <c r="B3" s="6">
        <v>0</v>
      </c>
      <c r="C3" s="10">
        <f xml:space="preserve"> B3+1024</f>
        <v>1024</v>
      </c>
      <c r="D3" s="1"/>
      <c r="E3" s="4">
        <v>1</v>
      </c>
      <c r="F3" s="6">
        <v>0</v>
      </c>
      <c r="G3" s="10" t="str">
        <f>DEC2HEX((HEX2DEC(F19)+1))</f>
        <v>400</v>
      </c>
      <c r="H3" s="1"/>
    </row>
    <row r="4" spans="1:11" x14ac:dyDescent="0.3">
      <c r="A4" s="4">
        <v>2</v>
      </c>
      <c r="B4" s="10">
        <f>B3+64</f>
        <v>64</v>
      </c>
      <c r="C4" s="10">
        <f t="shared" ref="C4:C18" si="0" xml:space="preserve"> B4+1024</f>
        <v>1088</v>
      </c>
      <c r="D4" s="1"/>
      <c r="E4" s="4">
        <v>2</v>
      </c>
      <c r="F4" s="10" t="str">
        <f>DEC2HEX((HEX2DEC(F3)+64))</f>
        <v>40</v>
      </c>
      <c r="G4" s="10" t="str">
        <f>DEC2HEX((HEX2DEC(G3)+64))</f>
        <v>440</v>
      </c>
      <c r="H4" s="1"/>
    </row>
    <row r="5" spans="1:11" x14ac:dyDescent="0.3">
      <c r="A5" s="4">
        <v>3</v>
      </c>
      <c r="B5" s="10">
        <f t="shared" ref="B5:B18" si="1">B4+64</f>
        <v>128</v>
      </c>
      <c r="C5" s="10">
        <f t="shared" si="0"/>
        <v>1152</v>
      </c>
      <c r="D5" s="1"/>
      <c r="E5" s="4">
        <v>3</v>
      </c>
      <c r="F5" s="10" t="str">
        <f t="shared" ref="F5:F6" si="2">DEC2HEX((HEX2DEC(F4)+64))</f>
        <v>80</v>
      </c>
      <c r="G5" s="10" t="str">
        <f t="shared" ref="G5:G18" si="3">DEC2HEX((HEX2DEC(G4)+64))</f>
        <v>480</v>
      </c>
    </row>
    <row r="6" spans="1:11" x14ac:dyDescent="0.3">
      <c r="A6" s="4">
        <v>4</v>
      </c>
      <c r="B6" s="10">
        <f t="shared" si="1"/>
        <v>192</v>
      </c>
      <c r="C6" s="10">
        <f t="shared" si="0"/>
        <v>1216</v>
      </c>
      <c r="D6" s="1"/>
      <c r="E6" s="4">
        <v>4</v>
      </c>
      <c r="F6" s="10" t="str">
        <f t="shared" si="2"/>
        <v>C0</v>
      </c>
      <c r="G6" s="10" t="str">
        <f t="shared" si="3"/>
        <v>4C0</v>
      </c>
    </row>
    <row r="7" spans="1:11" x14ac:dyDescent="0.3">
      <c r="A7" s="4">
        <v>5</v>
      </c>
      <c r="B7" s="10">
        <f t="shared" si="1"/>
        <v>256</v>
      </c>
      <c r="C7" s="10">
        <f t="shared" si="0"/>
        <v>1280</v>
      </c>
      <c r="D7" s="1"/>
      <c r="E7" s="4">
        <v>5</v>
      </c>
      <c r="F7" s="10" t="str">
        <f>DEC2HEX((HEX2DEC(F6)+64))</f>
        <v>100</v>
      </c>
      <c r="G7" s="10" t="str">
        <f t="shared" si="3"/>
        <v>500</v>
      </c>
    </row>
    <row r="8" spans="1:11" x14ac:dyDescent="0.3">
      <c r="A8" s="4">
        <v>6</v>
      </c>
      <c r="B8" s="10">
        <f t="shared" si="1"/>
        <v>320</v>
      </c>
      <c r="C8" s="10">
        <f t="shared" si="0"/>
        <v>1344</v>
      </c>
      <c r="D8" s="1"/>
      <c r="E8" s="4">
        <v>6</v>
      </c>
      <c r="F8" s="10" t="str">
        <f t="shared" ref="F8:F18" si="4">DEC2HEX((HEX2DEC(F7)+64))</f>
        <v>140</v>
      </c>
      <c r="G8" s="10" t="str">
        <f t="shared" si="3"/>
        <v>540</v>
      </c>
    </row>
    <row r="9" spans="1:11" x14ac:dyDescent="0.3">
      <c r="A9" s="4">
        <v>7</v>
      </c>
      <c r="B9" s="10">
        <f t="shared" si="1"/>
        <v>384</v>
      </c>
      <c r="C9" s="10">
        <f t="shared" si="0"/>
        <v>1408</v>
      </c>
      <c r="D9" s="1"/>
      <c r="E9" s="4">
        <v>7</v>
      </c>
      <c r="F9" s="10" t="str">
        <f t="shared" si="4"/>
        <v>180</v>
      </c>
      <c r="G9" s="10" t="str">
        <f t="shared" si="3"/>
        <v>580</v>
      </c>
    </row>
    <row r="10" spans="1:11" x14ac:dyDescent="0.3">
      <c r="A10" s="4">
        <v>8</v>
      </c>
      <c r="B10" s="10">
        <f t="shared" si="1"/>
        <v>448</v>
      </c>
      <c r="C10" s="10">
        <f t="shared" si="0"/>
        <v>1472</v>
      </c>
      <c r="D10" s="1"/>
      <c r="E10" s="4">
        <v>8</v>
      </c>
      <c r="F10" s="10" t="str">
        <f t="shared" si="4"/>
        <v>1C0</v>
      </c>
      <c r="G10" s="10" t="str">
        <f t="shared" si="3"/>
        <v>5C0</v>
      </c>
    </row>
    <row r="11" spans="1:11" x14ac:dyDescent="0.3">
      <c r="A11" s="4">
        <v>9</v>
      </c>
      <c r="B11" s="10">
        <f t="shared" si="1"/>
        <v>512</v>
      </c>
      <c r="C11" s="10">
        <f t="shared" si="0"/>
        <v>1536</v>
      </c>
      <c r="D11" s="1"/>
      <c r="E11" s="4">
        <v>9</v>
      </c>
      <c r="F11" s="10" t="str">
        <f t="shared" si="4"/>
        <v>200</v>
      </c>
      <c r="G11" s="10" t="str">
        <f t="shared" si="3"/>
        <v>600</v>
      </c>
    </row>
    <row r="12" spans="1:11" x14ac:dyDescent="0.3">
      <c r="A12" s="4">
        <v>10</v>
      </c>
      <c r="B12" s="10">
        <f t="shared" si="1"/>
        <v>576</v>
      </c>
      <c r="C12" s="10">
        <f t="shared" si="0"/>
        <v>1600</v>
      </c>
      <c r="D12" s="1"/>
      <c r="E12" s="4">
        <v>10</v>
      </c>
      <c r="F12" s="10" t="str">
        <f t="shared" si="4"/>
        <v>240</v>
      </c>
      <c r="G12" s="10" t="str">
        <f t="shared" si="3"/>
        <v>640</v>
      </c>
    </row>
    <row r="13" spans="1:11" x14ac:dyDescent="0.3">
      <c r="A13" s="4">
        <v>11</v>
      </c>
      <c r="B13" s="10">
        <f t="shared" si="1"/>
        <v>640</v>
      </c>
      <c r="C13" s="10">
        <f t="shared" si="0"/>
        <v>1664</v>
      </c>
      <c r="D13" s="1"/>
      <c r="E13" s="4">
        <v>11</v>
      </c>
      <c r="F13" s="10" t="str">
        <f t="shared" si="4"/>
        <v>280</v>
      </c>
      <c r="G13" s="10" t="str">
        <f t="shared" si="3"/>
        <v>680</v>
      </c>
    </row>
    <row r="14" spans="1:11" x14ac:dyDescent="0.3">
      <c r="A14" s="4">
        <v>12</v>
      </c>
      <c r="B14" s="10">
        <f t="shared" si="1"/>
        <v>704</v>
      </c>
      <c r="C14" s="10">
        <f t="shared" si="0"/>
        <v>1728</v>
      </c>
      <c r="D14" s="1"/>
      <c r="E14" s="4">
        <v>12</v>
      </c>
      <c r="F14" s="10" t="str">
        <f t="shared" si="4"/>
        <v>2C0</v>
      </c>
      <c r="G14" s="10" t="str">
        <f t="shared" si="3"/>
        <v>6C0</v>
      </c>
    </row>
    <row r="15" spans="1:11" x14ac:dyDescent="0.3">
      <c r="A15" s="4">
        <v>13</v>
      </c>
      <c r="B15" s="10">
        <f t="shared" si="1"/>
        <v>768</v>
      </c>
      <c r="C15" s="10">
        <f t="shared" si="0"/>
        <v>1792</v>
      </c>
      <c r="D15" s="1"/>
      <c r="E15" s="4">
        <v>13</v>
      </c>
      <c r="F15" s="10" t="str">
        <f t="shared" si="4"/>
        <v>300</v>
      </c>
      <c r="G15" s="10" t="str">
        <f t="shared" si="3"/>
        <v>700</v>
      </c>
    </row>
    <row r="16" spans="1:11" x14ac:dyDescent="0.3">
      <c r="A16" s="4">
        <v>14</v>
      </c>
      <c r="B16" s="10">
        <f t="shared" si="1"/>
        <v>832</v>
      </c>
      <c r="C16" s="10">
        <f t="shared" si="0"/>
        <v>1856</v>
      </c>
      <c r="D16" s="1"/>
      <c r="E16" s="4">
        <v>14</v>
      </c>
      <c r="F16" s="10" t="str">
        <f t="shared" si="4"/>
        <v>340</v>
      </c>
      <c r="G16" s="10" t="str">
        <f t="shared" si="3"/>
        <v>740</v>
      </c>
    </row>
    <row r="17" spans="1:11" x14ac:dyDescent="0.3">
      <c r="A17" s="4">
        <v>15</v>
      </c>
      <c r="B17" s="10">
        <f t="shared" si="1"/>
        <v>896</v>
      </c>
      <c r="C17" s="10">
        <f t="shared" si="0"/>
        <v>1920</v>
      </c>
      <c r="D17" s="1"/>
      <c r="E17" s="4">
        <v>15</v>
      </c>
      <c r="F17" s="10" t="str">
        <f t="shared" si="4"/>
        <v>380</v>
      </c>
      <c r="G17" s="10" t="str">
        <f t="shared" si="3"/>
        <v>780</v>
      </c>
    </row>
    <row r="18" spans="1:11" x14ac:dyDescent="0.3">
      <c r="A18" s="4">
        <v>16</v>
      </c>
      <c r="B18" s="10">
        <f t="shared" si="1"/>
        <v>960</v>
      </c>
      <c r="C18" s="10">
        <f t="shared" si="0"/>
        <v>1984</v>
      </c>
      <c r="D18" s="1"/>
      <c r="E18" s="4">
        <v>16</v>
      </c>
      <c r="F18" s="10" t="str">
        <f t="shared" si="4"/>
        <v>3C0</v>
      </c>
      <c r="G18" s="10" t="str">
        <f t="shared" si="3"/>
        <v>7C0</v>
      </c>
    </row>
    <row r="19" spans="1:11" x14ac:dyDescent="0.3">
      <c r="A19" s="5" t="s">
        <v>5</v>
      </c>
      <c r="B19" s="5">
        <f>B18+63</f>
        <v>1023</v>
      </c>
      <c r="C19" s="5">
        <f>C18+63</f>
        <v>2047</v>
      </c>
      <c r="E19" s="5" t="s">
        <v>5</v>
      </c>
      <c r="F19" s="5" t="str">
        <f>DEC2HEX((HEX2DEC(F18)+63))</f>
        <v>3FF</v>
      </c>
      <c r="G19" s="5" t="str">
        <f>DEC2HEX((HEX2DEC(G18)+63))</f>
        <v>7FF</v>
      </c>
    </row>
    <row r="21" spans="1:11" x14ac:dyDescent="0.3">
      <c r="D21" s="1"/>
      <c r="E21" s="1"/>
      <c r="G21" s="1"/>
      <c r="H21" s="1"/>
      <c r="I21" s="1"/>
      <c r="J21" s="1"/>
      <c r="K21" s="1"/>
    </row>
    <row r="22" spans="1:11" x14ac:dyDescent="0.3">
      <c r="D22" s="1"/>
      <c r="E22" s="2"/>
    </row>
    <row r="23" spans="1:11" x14ac:dyDescent="0.3">
      <c r="D23" s="1"/>
      <c r="E23" s="1"/>
    </row>
    <row r="24" spans="1:11" x14ac:dyDescent="0.3">
      <c r="D24" s="1"/>
      <c r="E24" s="1"/>
    </row>
    <row r="25" spans="1:11" x14ac:dyDescent="0.3">
      <c r="D25" s="1"/>
      <c r="E25" s="1"/>
    </row>
    <row r="26" spans="1:11" x14ac:dyDescent="0.3">
      <c r="D26" s="1"/>
      <c r="E26" s="1"/>
    </row>
    <row r="27" spans="1:11" x14ac:dyDescent="0.3">
      <c r="D27" s="1"/>
      <c r="E27" s="1"/>
    </row>
    <row r="28" spans="1:11" x14ac:dyDescent="0.3">
      <c r="D28" s="1"/>
      <c r="E28" s="1"/>
    </row>
    <row r="29" spans="1:11" x14ac:dyDescent="0.3">
      <c r="D29" s="1"/>
      <c r="E29" s="1"/>
    </row>
    <row r="30" spans="1:11" x14ac:dyDescent="0.3">
      <c r="D30" s="1"/>
      <c r="E30" s="1"/>
    </row>
    <row r="31" spans="1:11" x14ac:dyDescent="0.3">
      <c r="D31" s="1"/>
      <c r="E31" s="1"/>
    </row>
    <row r="32" spans="1:11" x14ac:dyDescent="0.3">
      <c r="D32" s="1"/>
      <c r="E32" s="1"/>
    </row>
    <row r="33" spans="4:5" x14ac:dyDescent="0.3">
      <c r="D33" s="1"/>
      <c r="E33" s="1"/>
    </row>
    <row r="34" spans="4:5" x14ac:dyDescent="0.3">
      <c r="D34" s="1"/>
      <c r="E34" s="1"/>
    </row>
    <row r="35" spans="4:5" x14ac:dyDescent="0.3">
      <c r="D35" s="1"/>
      <c r="E35" s="1"/>
    </row>
    <row r="36" spans="4:5" x14ac:dyDescent="0.3">
      <c r="D36" s="1"/>
      <c r="E36" s="1"/>
    </row>
    <row r="37" spans="4:5" x14ac:dyDescent="0.3">
      <c r="D37" s="1"/>
      <c r="E37" s="1"/>
    </row>
  </sheetData>
  <mergeCells count="2">
    <mergeCell ref="A1:C1"/>
    <mergeCell ref="E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13D8-3526-4478-A544-A54B60F696EB}">
  <dimension ref="A1:G21"/>
  <sheetViews>
    <sheetView workbookViewId="0">
      <selection activeCell="G3" sqref="G3:G18"/>
    </sheetView>
  </sheetViews>
  <sheetFormatPr defaultRowHeight="14.4" x14ac:dyDescent="0.3"/>
  <sheetData>
    <row r="1" spans="1:7" x14ac:dyDescent="0.3">
      <c r="A1" s="7" t="s">
        <v>7</v>
      </c>
      <c r="B1" s="7"/>
      <c r="C1" s="7"/>
      <c r="E1" s="7" t="s">
        <v>8</v>
      </c>
      <c r="F1" s="7"/>
      <c r="G1" s="7"/>
    </row>
    <row r="2" spans="1:7" x14ac:dyDescent="0.3">
      <c r="A2" s="3" t="s">
        <v>0</v>
      </c>
      <c r="B2" s="3" t="s">
        <v>1</v>
      </c>
      <c r="C2" s="3" t="s">
        <v>2</v>
      </c>
      <c r="D2" s="1"/>
      <c r="E2" s="3" t="s">
        <v>0</v>
      </c>
      <c r="F2" s="3" t="s">
        <v>1</v>
      </c>
      <c r="G2" s="3" t="s">
        <v>2</v>
      </c>
    </row>
    <row r="3" spans="1:7" x14ac:dyDescent="0.3">
      <c r="A3" s="4">
        <v>1</v>
      </c>
      <c r="B3" s="6">
        <v>0</v>
      </c>
      <c r="C3" s="10">
        <f xml:space="preserve"> B3+512</f>
        <v>512</v>
      </c>
      <c r="D3" s="1"/>
      <c r="E3" s="4">
        <v>1</v>
      </c>
      <c r="F3" s="6">
        <v>0</v>
      </c>
      <c r="G3" s="10" t="str">
        <f>DEC2HEX((HEX2DEC(F19)+1))</f>
        <v>200</v>
      </c>
    </row>
    <row r="4" spans="1:7" x14ac:dyDescent="0.3">
      <c r="A4" s="4">
        <v>2</v>
      </c>
      <c r="B4" s="10">
        <f>B3+32</f>
        <v>32</v>
      </c>
      <c r="C4" s="10">
        <f t="shared" ref="C4:C18" si="0" xml:space="preserve"> B4+512</f>
        <v>544</v>
      </c>
      <c r="D4" s="1"/>
      <c r="E4" s="4">
        <v>2</v>
      </c>
      <c r="F4" s="10" t="str">
        <f>DEC2HEX((HEX2DEC(F3)+32))</f>
        <v>20</v>
      </c>
      <c r="G4" s="10" t="str">
        <f>DEC2HEX((HEX2DEC(G3)+32))</f>
        <v>220</v>
      </c>
    </row>
    <row r="5" spans="1:7" x14ac:dyDescent="0.3">
      <c r="A5" s="4">
        <v>3</v>
      </c>
      <c r="B5" s="10">
        <f t="shared" ref="B5:B18" si="1">B4+32</f>
        <v>64</v>
      </c>
      <c r="C5" s="10">
        <f t="shared" si="0"/>
        <v>576</v>
      </c>
      <c r="D5" s="1"/>
      <c r="E5" s="4">
        <v>3</v>
      </c>
      <c r="F5" s="10" t="str">
        <f t="shared" ref="F5:F18" si="2">DEC2HEX((HEX2DEC(F4)+32))</f>
        <v>40</v>
      </c>
      <c r="G5" s="10" t="str">
        <f t="shared" ref="G5:G18" si="3">DEC2HEX((HEX2DEC(G4)+32))</f>
        <v>240</v>
      </c>
    </row>
    <row r="6" spans="1:7" x14ac:dyDescent="0.3">
      <c r="A6" s="4">
        <v>4</v>
      </c>
      <c r="B6" s="10">
        <f t="shared" si="1"/>
        <v>96</v>
      </c>
      <c r="C6" s="10">
        <f t="shared" si="0"/>
        <v>608</v>
      </c>
      <c r="D6" s="1"/>
      <c r="E6" s="4">
        <v>4</v>
      </c>
      <c r="F6" s="10" t="str">
        <f t="shared" si="2"/>
        <v>60</v>
      </c>
      <c r="G6" s="10" t="str">
        <f t="shared" si="3"/>
        <v>260</v>
      </c>
    </row>
    <row r="7" spans="1:7" x14ac:dyDescent="0.3">
      <c r="A7" s="4">
        <v>5</v>
      </c>
      <c r="B7" s="10">
        <f t="shared" si="1"/>
        <v>128</v>
      </c>
      <c r="C7" s="10">
        <f t="shared" si="0"/>
        <v>640</v>
      </c>
      <c r="D7" s="1"/>
      <c r="E7" s="4">
        <v>5</v>
      </c>
      <c r="F7" s="10" t="str">
        <f t="shared" si="2"/>
        <v>80</v>
      </c>
      <c r="G7" s="10" t="str">
        <f t="shared" si="3"/>
        <v>280</v>
      </c>
    </row>
    <row r="8" spans="1:7" x14ac:dyDescent="0.3">
      <c r="A8" s="4">
        <v>6</v>
      </c>
      <c r="B8" s="10">
        <f t="shared" si="1"/>
        <v>160</v>
      </c>
      <c r="C8" s="10">
        <f t="shared" si="0"/>
        <v>672</v>
      </c>
      <c r="D8" s="1"/>
      <c r="E8" s="4">
        <v>6</v>
      </c>
      <c r="F8" s="10" t="str">
        <f t="shared" si="2"/>
        <v>A0</v>
      </c>
      <c r="G8" s="10" t="str">
        <f t="shared" si="3"/>
        <v>2A0</v>
      </c>
    </row>
    <row r="9" spans="1:7" x14ac:dyDescent="0.3">
      <c r="A9" s="4">
        <v>7</v>
      </c>
      <c r="B9" s="10">
        <f t="shared" si="1"/>
        <v>192</v>
      </c>
      <c r="C9" s="10">
        <f t="shared" si="0"/>
        <v>704</v>
      </c>
      <c r="D9" s="1"/>
      <c r="E9" s="4">
        <v>7</v>
      </c>
      <c r="F9" s="10" t="str">
        <f t="shared" si="2"/>
        <v>C0</v>
      </c>
      <c r="G9" s="10" t="str">
        <f t="shared" si="3"/>
        <v>2C0</v>
      </c>
    </row>
    <row r="10" spans="1:7" x14ac:dyDescent="0.3">
      <c r="A10" s="4">
        <v>8</v>
      </c>
      <c r="B10" s="10">
        <f t="shared" si="1"/>
        <v>224</v>
      </c>
      <c r="C10" s="10">
        <f t="shared" si="0"/>
        <v>736</v>
      </c>
      <c r="D10" s="1"/>
      <c r="E10" s="4">
        <v>8</v>
      </c>
      <c r="F10" s="10" t="str">
        <f t="shared" si="2"/>
        <v>E0</v>
      </c>
      <c r="G10" s="10" t="str">
        <f t="shared" si="3"/>
        <v>2E0</v>
      </c>
    </row>
    <row r="11" spans="1:7" x14ac:dyDescent="0.3">
      <c r="A11" s="4">
        <v>9</v>
      </c>
      <c r="B11" s="10">
        <f t="shared" si="1"/>
        <v>256</v>
      </c>
      <c r="C11" s="10">
        <f t="shared" si="0"/>
        <v>768</v>
      </c>
      <c r="D11" s="1"/>
      <c r="E11" s="4">
        <v>9</v>
      </c>
      <c r="F11" s="10" t="str">
        <f t="shared" si="2"/>
        <v>100</v>
      </c>
      <c r="G11" s="10" t="str">
        <f t="shared" si="3"/>
        <v>300</v>
      </c>
    </row>
    <row r="12" spans="1:7" x14ac:dyDescent="0.3">
      <c r="A12" s="4">
        <v>10</v>
      </c>
      <c r="B12" s="10">
        <f t="shared" si="1"/>
        <v>288</v>
      </c>
      <c r="C12" s="10">
        <f t="shared" si="0"/>
        <v>800</v>
      </c>
      <c r="D12" s="1"/>
      <c r="E12" s="4">
        <v>10</v>
      </c>
      <c r="F12" s="10" t="str">
        <f t="shared" si="2"/>
        <v>120</v>
      </c>
      <c r="G12" s="10" t="str">
        <f t="shared" si="3"/>
        <v>320</v>
      </c>
    </row>
    <row r="13" spans="1:7" x14ac:dyDescent="0.3">
      <c r="A13" s="4">
        <v>11</v>
      </c>
      <c r="B13" s="10">
        <f t="shared" si="1"/>
        <v>320</v>
      </c>
      <c r="C13" s="10">
        <f t="shared" si="0"/>
        <v>832</v>
      </c>
      <c r="D13" s="1"/>
      <c r="E13" s="4">
        <v>11</v>
      </c>
      <c r="F13" s="10" t="str">
        <f t="shared" si="2"/>
        <v>140</v>
      </c>
      <c r="G13" s="10" t="str">
        <f t="shared" si="3"/>
        <v>340</v>
      </c>
    </row>
    <row r="14" spans="1:7" x14ac:dyDescent="0.3">
      <c r="A14" s="4">
        <v>12</v>
      </c>
      <c r="B14" s="10">
        <f t="shared" si="1"/>
        <v>352</v>
      </c>
      <c r="C14" s="10">
        <f t="shared" si="0"/>
        <v>864</v>
      </c>
      <c r="D14" s="1"/>
      <c r="E14" s="4">
        <v>12</v>
      </c>
      <c r="F14" s="10" t="str">
        <f t="shared" si="2"/>
        <v>160</v>
      </c>
      <c r="G14" s="10" t="str">
        <f t="shared" si="3"/>
        <v>360</v>
      </c>
    </row>
    <row r="15" spans="1:7" x14ac:dyDescent="0.3">
      <c r="A15" s="4">
        <v>13</v>
      </c>
      <c r="B15" s="10">
        <f t="shared" si="1"/>
        <v>384</v>
      </c>
      <c r="C15" s="10">
        <f t="shared" si="0"/>
        <v>896</v>
      </c>
      <c r="D15" s="1"/>
      <c r="E15" s="4">
        <v>13</v>
      </c>
      <c r="F15" s="10" t="str">
        <f t="shared" si="2"/>
        <v>180</v>
      </c>
      <c r="G15" s="10" t="str">
        <f t="shared" si="3"/>
        <v>380</v>
      </c>
    </row>
    <row r="16" spans="1:7" x14ac:dyDescent="0.3">
      <c r="A16" s="4">
        <v>14</v>
      </c>
      <c r="B16" s="10">
        <f t="shared" si="1"/>
        <v>416</v>
      </c>
      <c r="C16" s="10">
        <f t="shared" si="0"/>
        <v>928</v>
      </c>
      <c r="D16" s="1"/>
      <c r="E16" s="4">
        <v>14</v>
      </c>
      <c r="F16" s="10" t="str">
        <f t="shared" si="2"/>
        <v>1A0</v>
      </c>
      <c r="G16" s="10" t="str">
        <f t="shared" si="3"/>
        <v>3A0</v>
      </c>
    </row>
    <row r="17" spans="1:7" x14ac:dyDescent="0.3">
      <c r="A17" s="4">
        <v>15</v>
      </c>
      <c r="B17" s="10">
        <f t="shared" si="1"/>
        <v>448</v>
      </c>
      <c r="C17" s="10">
        <f t="shared" si="0"/>
        <v>960</v>
      </c>
      <c r="D17" s="1"/>
      <c r="E17" s="4">
        <v>15</v>
      </c>
      <c r="F17" s="10" t="str">
        <f t="shared" si="2"/>
        <v>1C0</v>
      </c>
      <c r="G17" s="10" t="str">
        <f t="shared" si="3"/>
        <v>3C0</v>
      </c>
    </row>
    <row r="18" spans="1:7" x14ac:dyDescent="0.3">
      <c r="A18" s="4">
        <v>16</v>
      </c>
      <c r="B18" s="10">
        <f t="shared" si="1"/>
        <v>480</v>
      </c>
      <c r="C18" s="10">
        <f t="shared" si="0"/>
        <v>992</v>
      </c>
      <c r="D18" s="1"/>
      <c r="E18" s="4">
        <v>16</v>
      </c>
      <c r="F18" s="10" t="str">
        <f t="shared" si="2"/>
        <v>1E0</v>
      </c>
      <c r="G18" s="10" t="str">
        <f t="shared" si="3"/>
        <v>3E0</v>
      </c>
    </row>
    <row r="19" spans="1:7" x14ac:dyDescent="0.3">
      <c r="A19" s="5" t="s">
        <v>5</v>
      </c>
      <c r="B19" s="5">
        <f>B18+63</f>
        <v>543</v>
      </c>
      <c r="C19" s="5">
        <f>C18+63</f>
        <v>1055</v>
      </c>
      <c r="E19" s="5" t="s">
        <v>5</v>
      </c>
      <c r="F19" s="5" t="str">
        <f>DEC2HEX((HEX2DEC(F18)+31))</f>
        <v>1FF</v>
      </c>
      <c r="G19" s="5" t="str">
        <f>DEC2HEX((HEX2DEC(G18)+31))</f>
        <v>3FF</v>
      </c>
    </row>
    <row r="21" spans="1:7" x14ac:dyDescent="0.3">
      <c r="C21" s="1"/>
      <c r="D21" s="1"/>
      <c r="E21" s="1"/>
      <c r="F21" s="1"/>
      <c r="G21" s="1"/>
    </row>
  </sheetData>
  <mergeCells count="2">
    <mergeCell ref="A1:C1"/>
    <mergeCell ref="E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7AED-420A-4C62-9F79-90FE141A9FAE}">
  <dimension ref="A1:K19"/>
  <sheetViews>
    <sheetView tabSelected="1" workbookViewId="0">
      <selection activeCell="F7" sqref="F7"/>
    </sheetView>
  </sheetViews>
  <sheetFormatPr defaultRowHeight="14.4" x14ac:dyDescent="0.3"/>
  <cols>
    <col min="4" max="4" width="8.109375" customWidth="1"/>
    <col min="8" max="8" width="10.109375" customWidth="1"/>
  </cols>
  <sheetData>
    <row r="1" spans="1:11" x14ac:dyDescent="0.3">
      <c r="A1" s="7" t="s">
        <v>7</v>
      </c>
      <c r="B1" s="7"/>
      <c r="C1" s="7"/>
      <c r="D1" s="7"/>
      <c r="E1" s="7"/>
      <c r="G1" s="7" t="s">
        <v>8</v>
      </c>
      <c r="H1" s="7"/>
      <c r="I1" s="7"/>
      <c r="J1" s="7"/>
      <c r="K1" s="7"/>
    </row>
    <row r="2" spans="1:1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G2" s="3" t="s">
        <v>0</v>
      </c>
      <c r="H2" s="3" t="s">
        <v>1</v>
      </c>
      <c r="I2" s="3" t="s">
        <v>2</v>
      </c>
      <c r="J2" s="3" t="s">
        <v>3</v>
      </c>
      <c r="K2" s="3" t="s">
        <v>4</v>
      </c>
    </row>
    <row r="3" spans="1:11" x14ac:dyDescent="0.3">
      <c r="A3" s="4">
        <v>1</v>
      </c>
      <c r="B3" s="6">
        <v>0</v>
      </c>
      <c r="C3" s="10">
        <f xml:space="preserve"> B3+64</f>
        <v>64</v>
      </c>
      <c r="D3" s="10">
        <f>B3+128</f>
        <v>128</v>
      </c>
      <c r="E3" s="10">
        <f>B3+640</f>
        <v>640</v>
      </c>
      <c r="G3" s="4">
        <v>1</v>
      </c>
      <c r="H3" s="6">
        <v>0</v>
      </c>
      <c r="I3" s="10" t="str">
        <f>DEC2HEX((HEX2DEC(H3)+64))</f>
        <v>40</v>
      </c>
      <c r="J3" s="10" t="str">
        <f>DEC2HEX((HEX2DEC(I3)+64))</f>
        <v>80</v>
      </c>
      <c r="K3" s="10" t="str">
        <f>DEC2HEX((HEX2DEC(J3)+512))</f>
        <v>280</v>
      </c>
    </row>
    <row r="4" spans="1:11" x14ac:dyDescent="0.3">
      <c r="A4" s="4">
        <v>2</v>
      </c>
      <c r="B4" s="10">
        <f>B3+4</f>
        <v>4</v>
      </c>
      <c r="C4" s="10">
        <f>B4+64</f>
        <v>68</v>
      </c>
      <c r="D4" s="10">
        <f>D3+32</f>
        <v>160</v>
      </c>
      <c r="E4" s="10">
        <f>E3+32</f>
        <v>672</v>
      </c>
      <c r="G4" s="4">
        <v>2</v>
      </c>
      <c r="H4" s="10" t="str">
        <f>DEC2HEX((HEX2DEC(H3)+4))</f>
        <v>4</v>
      </c>
      <c r="I4" s="10" t="str">
        <f>DEC2HEX((HEX2DEC(I3)+4))</f>
        <v>44</v>
      </c>
      <c r="J4" s="10" t="str">
        <f>DEC2HEX((HEX2DEC(J3)+32))</f>
        <v>A0</v>
      </c>
      <c r="K4" s="10" t="str">
        <f>DEC2HEX((HEX2DEC(K3)+32))</f>
        <v>2A0</v>
      </c>
    </row>
    <row r="5" spans="1:11" x14ac:dyDescent="0.3">
      <c r="A5" s="4">
        <v>3</v>
      </c>
      <c r="B5" s="10">
        <f t="shared" ref="B5:B18" si="0">B4+4</f>
        <v>8</v>
      </c>
      <c r="C5" s="10">
        <f t="shared" ref="C5:C18" si="1">B5+64</f>
        <v>72</v>
      </c>
      <c r="D5" s="10">
        <f t="shared" ref="D5:E18" si="2">D4+32</f>
        <v>192</v>
      </c>
      <c r="E5" s="10">
        <f t="shared" si="2"/>
        <v>704</v>
      </c>
      <c r="G5" s="4">
        <v>3</v>
      </c>
      <c r="H5" s="10" t="str">
        <f t="shared" ref="H5:H18" si="3">DEC2HEX((HEX2DEC(H4)+4))</f>
        <v>8</v>
      </c>
      <c r="I5" s="10" t="str">
        <f t="shared" ref="I5:I18" si="4">DEC2HEX((HEX2DEC(I4)+4))</f>
        <v>48</v>
      </c>
      <c r="J5" s="10" t="str">
        <f t="shared" ref="J5:J18" si="5">DEC2HEX((HEX2DEC(J4)+32))</f>
        <v>C0</v>
      </c>
      <c r="K5" s="10" t="str">
        <f t="shared" ref="K5:K18" si="6">DEC2HEX((HEX2DEC(K4)+32))</f>
        <v>2C0</v>
      </c>
    </row>
    <row r="6" spans="1:11" x14ac:dyDescent="0.3">
      <c r="A6" s="4">
        <v>4</v>
      </c>
      <c r="B6" s="10">
        <f t="shared" si="0"/>
        <v>12</v>
      </c>
      <c r="C6" s="10">
        <f t="shared" si="1"/>
        <v>76</v>
      </c>
      <c r="D6" s="10">
        <f t="shared" si="2"/>
        <v>224</v>
      </c>
      <c r="E6" s="10">
        <f t="shared" si="2"/>
        <v>736</v>
      </c>
      <c r="G6" s="4">
        <v>4</v>
      </c>
      <c r="H6" s="10" t="str">
        <f t="shared" si="3"/>
        <v>C</v>
      </c>
      <c r="I6" s="10" t="str">
        <f t="shared" si="4"/>
        <v>4C</v>
      </c>
      <c r="J6" s="10" t="str">
        <f t="shared" si="5"/>
        <v>E0</v>
      </c>
      <c r="K6" s="10" t="str">
        <f t="shared" si="6"/>
        <v>2E0</v>
      </c>
    </row>
    <row r="7" spans="1:11" x14ac:dyDescent="0.3">
      <c r="A7" s="4">
        <v>5</v>
      </c>
      <c r="B7" s="10">
        <f t="shared" si="0"/>
        <v>16</v>
      </c>
      <c r="C7" s="10">
        <f t="shared" si="1"/>
        <v>80</v>
      </c>
      <c r="D7" s="10">
        <f t="shared" si="2"/>
        <v>256</v>
      </c>
      <c r="E7" s="10">
        <f t="shared" si="2"/>
        <v>768</v>
      </c>
      <c r="G7" s="4">
        <v>5</v>
      </c>
      <c r="H7" s="10" t="str">
        <f t="shared" si="3"/>
        <v>10</v>
      </c>
      <c r="I7" s="10" t="str">
        <f t="shared" si="4"/>
        <v>50</v>
      </c>
      <c r="J7" s="10" t="str">
        <f t="shared" si="5"/>
        <v>100</v>
      </c>
      <c r="K7" s="10" t="str">
        <f t="shared" si="6"/>
        <v>300</v>
      </c>
    </row>
    <row r="8" spans="1:11" x14ac:dyDescent="0.3">
      <c r="A8" s="4">
        <v>6</v>
      </c>
      <c r="B8" s="10">
        <f t="shared" si="0"/>
        <v>20</v>
      </c>
      <c r="C8" s="10">
        <f t="shared" si="1"/>
        <v>84</v>
      </c>
      <c r="D8" s="10">
        <f t="shared" si="2"/>
        <v>288</v>
      </c>
      <c r="E8" s="10">
        <f t="shared" si="2"/>
        <v>800</v>
      </c>
      <c r="G8" s="4">
        <v>6</v>
      </c>
      <c r="H8" s="10" t="str">
        <f t="shared" si="3"/>
        <v>14</v>
      </c>
      <c r="I8" s="10" t="str">
        <f t="shared" si="4"/>
        <v>54</v>
      </c>
      <c r="J8" s="10" t="str">
        <f t="shared" si="5"/>
        <v>120</v>
      </c>
      <c r="K8" s="10" t="str">
        <f t="shared" si="6"/>
        <v>320</v>
      </c>
    </row>
    <row r="9" spans="1:11" x14ac:dyDescent="0.3">
      <c r="A9" s="4">
        <v>7</v>
      </c>
      <c r="B9" s="10">
        <f t="shared" si="0"/>
        <v>24</v>
      </c>
      <c r="C9" s="10">
        <f t="shared" si="1"/>
        <v>88</v>
      </c>
      <c r="D9" s="10">
        <f t="shared" si="2"/>
        <v>320</v>
      </c>
      <c r="E9" s="10">
        <f t="shared" si="2"/>
        <v>832</v>
      </c>
      <c r="G9" s="4">
        <v>7</v>
      </c>
      <c r="H9" s="10" t="str">
        <f t="shared" si="3"/>
        <v>18</v>
      </c>
      <c r="I9" s="10" t="str">
        <f t="shared" si="4"/>
        <v>58</v>
      </c>
      <c r="J9" s="10" t="str">
        <f t="shared" si="5"/>
        <v>140</v>
      </c>
      <c r="K9" s="10" t="str">
        <f t="shared" si="6"/>
        <v>340</v>
      </c>
    </row>
    <row r="10" spans="1:11" x14ac:dyDescent="0.3">
      <c r="A10" s="4">
        <v>8</v>
      </c>
      <c r="B10" s="10">
        <f t="shared" si="0"/>
        <v>28</v>
      </c>
      <c r="C10" s="10">
        <f t="shared" si="1"/>
        <v>92</v>
      </c>
      <c r="D10" s="10">
        <f t="shared" si="2"/>
        <v>352</v>
      </c>
      <c r="E10" s="10">
        <f t="shared" si="2"/>
        <v>864</v>
      </c>
      <c r="G10" s="4">
        <v>8</v>
      </c>
      <c r="H10" s="10" t="str">
        <f t="shared" si="3"/>
        <v>1C</v>
      </c>
      <c r="I10" s="10" t="str">
        <f t="shared" si="4"/>
        <v>5C</v>
      </c>
      <c r="J10" s="10" t="str">
        <f t="shared" si="5"/>
        <v>160</v>
      </c>
      <c r="K10" s="10" t="str">
        <f t="shared" si="6"/>
        <v>360</v>
      </c>
    </row>
    <row r="11" spans="1:11" x14ac:dyDescent="0.3">
      <c r="A11" s="4">
        <v>9</v>
      </c>
      <c r="B11" s="10">
        <f t="shared" si="0"/>
        <v>32</v>
      </c>
      <c r="C11" s="10">
        <f t="shared" si="1"/>
        <v>96</v>
      </c>
      <c r="D11" s="10">
        <f t="shared" si="2"/>
        <v>384</v>
      </c>
      <c r="E11" s="10">
        <f t="shared" si="2"/>
        <v>896</v>
      </c>
      <c r="G11" s="4">
        <v>9</v>
      </c>
      <c r="H11" s="10" t="str">
        <f t="shared" si="3"/>
        <v>20</v>
      </c>
      <c r="I11" s="10" t="str">
        <f t="shared" si="4"/>
        <v>60</v>
      </c>
      <c r="J11" s="10" t="str">
        <f t="shared" si="5"/>
        <v>180</v>
      </c>
      <c r="K11" s="10" t="str">
        <f t="shared" si="6"/>
        <v>380</v>
      </c>
    </row>
    <row r="12" spans="1:11" x14ac:dyDescent="0.3">
      <c r="A12" s="4">
        <v>10</v>
      </c>
      <c r="B12" s="10">
        <f t="shared" si="0"/>
        <v>36</v>
      </c>
      <c r="C12" s="10">
        <f t="shared" si="1"/>
        <v>100</v>
      </c>
      <c r="D12" s="10">
        <f t="shared" si="2"/>
        <v>416</v>
      </c>
      <c r="E12" s="10">
        <f t="shared" si="2"/>
        <v>928</v>
      </c>
      <c r="G12" s="4">
        <v>10</v>
      </c>
      <c r="H12" s="10" t="str">
        <f t="shared" si="3"/>
        <v>24</v>
      </c>
      <c r="I12" s="10" t="str">
        <f t="shared" si="4"/>
        <v>64</v>
      </c>
      <c r="J12" s="10" t="str">
        <f t="shared" si="5"/>
        <v>1A0</v>
      </c>
      <c r="K12" s="10" t="str">
        <f t="shared" si="6"/>
        <v>3A0</v>
      </c>
    </row>
    <row r="13" spans="1:11" x14ac:dyDescent="0.3">
      <c r="A13" s="4">
        <v>11</v>
      </c>
      <c r="B13" s="10">
        <f t="shared" si="0"/>
        <v>40</v>
      </c>
      <c r="C13" s="10">
        <f t="shared" si="1"/>
        <v>104</v>
      </c>
      <c r="D13" s="10">
        <f t="shared" si="2"/>
        <v>448</v>
      </c>
      <c r="E13" s="10">
        <f t="shared" si="2"/>
        <v>960</v>
      </c>
      <c r="G13" s="4">
        <v>11</v>
      </c>
      <c r="H13" s="10" t="str">
        <f t="shared" si="3"/>
        <v>28</v>
      </c>
      <c r="I13" s="10" t="str">
        <f t="shared" si="4"/>
        <v>68</v>
      </c>
      <c r="J13" s="10" t="str">
        <f t="shared" si="5"/>
        <v>1C0</v>
      </c>
      <c r="K13" s="10" t="str">
        <f t="shared" si="6"/>
        <v>3C0</v>
      </c>
    </row>
    <row r="14" spans="1:11" x14ac:dyDescent="0.3">
      <c r="A14" s="4">
        <v>12</v>
      </c>
      <c r="B14" s="10">
        <f t="shared" si="0"/>
        <v>44</v>
      </c>
      <c r="C14" s="10">
        <f t="shared" si="1"/>
        <v>108</v>
      </c>
      <c r="D14" s="10">
        <f t="shared" si="2"/>
        <v>480</v>
      </c>
      <c r="E14" s="10">
        <f t="shared" si="2"/>
        <v>992</v>
      </c>
      <c r="G14" s="4">
        <v>12</v>
      </c>
      <c r="H14" s="10" t="str">
        <f t="shared" si="3"/>
        <v>2C</v>
      </c>
      <c r="I14" s="10" t="str">
        <f t="shared" si="4"/>
        <v>6C</v>
      </c>
      <c r="J14" s="10" t="str">
        <f t="shared" si="5"/>
        <v>1E0</v>
      </c>
      <c r="K14" s="10" t="str">
        <f t="shared" si="6"/>
        <v>3E0</v>
      </c>
    </row>
    <row r="15" spans="1:11" x14ac:dyDescent="0.3">
      <c r="A15" s="4">
        <v>13</v>
      </c>
      <c r="B15" s="10">
        <f t="shared" si="0"/>
        <v>48</v>
      </c>
      <c r="C15" s="10">
        <f t="shared" si="1"/>
        <v>112</v>
      </c>
      <c r="D15" s="10">
        <f t="shared" si="2"/>
        <v>512</v>
      </c>
      <c r="E15" s="10">
        <f t="shared" si="2"/>
        <v>1024</v>
      </c>
      <c r="G15" s="4">
        <v>13</v>
      </c>
      <c r="H15" s="10" t="str">
        <f t="shared" si="3"/>
        <v>30</v>
      </c>
      <c r="I15" s="10" t="str">
        <f t="shared" si="4"/>
        <v>70</v>
      </c>
      <c r="J15" s="10" t="str">
        <f t="shared" si="5"/>
        <v>200</v>
      </c>
      <c r="K15" s="10" t="str">
        <f t="shared" si="6"/>
        <v>400</v>
      </c>
    </row>
    <row r="16" spans="1:11" x14ac:dyDescent="0.3">
      <c r="A16" s="4">
        <v>14</v>
      </c>
      <c r="B16" s="10">
        <f t="shared" si="0"/>
        <v>52</v>
      </c>
      <c r="C16" s="10">
        <f t="shared" si="1"/>
        <v>116</v>
      </c>
      <c r="D16" s="10">
        <f t="shared" si="2"/>
        <v>544</v>
      </c>
      <c r="E16" s="10">
        <f t="shared" si="2"/>
        <v>1056</v>
      </c>
      <c r="G16" s="4">
        <v>14</v>
      </c>
      <c r="H16" s="10" t="str">
        <f t="shared" si="3"/>
        <v>34</v>
      </c>
      <c r="I16" s="10" t="str">
        <f t="shared" si="4"/>
        <v>74</v>
      </c>
      <c r="J16" s="10" t="str">
        <f t="shared" si="5"/>
        <v>220</v>
      </c>
      <c r="K16" s="10" t="str">
        <f t="shared" si="6"/>
        <v>420</v>
      </c>
    </row>
    <row r="17" spans="1:11" x14ac:dyDescent="0.3">
      <c r="A17" s="4">
        <v>15</v>
      </c>
      <c r="B17" s="10">
        <f t="shared" si="0"/>
        <v>56</v>
      </c>
      <c r="C17" s="10">
        <f t="shared" si="1"/>
        <v>120</v>
      </c>
      <c r="D17" s="10">
        <f t="shared" si="2"/>
        <v>576</v>
      </c>
      <c r="E17" s="10">
        <f t="shared" si="2"/>
        <v>1088</v>
      </c>
      <c r="G17" s="4">
        <v>15</v>
      </c>
      <c r="H17" s="10" t="str">
        <f t="shared" si="3"/>
        <v>38</v>
      </c>
      <c r="I17" s="10" t="str">
        <f t="shared" si="4"/>
        <v>78</v>
      </c>
      <c r="J17" s="10" t="str">
        <f t="shared" si="5"/>
        <v>240</v>
      </c>
      <c r="K17" s="10" t="str">
        <f t="shared" si="6"/>
        <v>440</v>
      </c>
    </row>
    <row r="18" spans="1:11" x14ac:dyDescent="0.3">
      <c r="A18" s="4">
        <v>16</v>
      </c>
      <c r="B18" s="10">
        <f t="shared" si="0"/>
        <v>60</v>
      </c>
      <c r="C18" s="10">
        <f t="shared" si="1"/>
        <v>124</v>
      </c>
      <c r="D18" s="10">
        <f t="shared" si="2"/>
        <v>608</v>
      </c>
      <c r="E18" s="10">
        <f t="shared" si="2"/>
        <v>1120</v>
      </c>
      <c r="G18" s="4">
        <v>16</v>
      </c>
      <c r="H18" s="10" t="str">
        <f t="shared" si="3"/>
        <v>3C</v>
      </c>
      <c r="I18" s="10" t="str">
        <f t="shared" si="4"/>
        <v>7C</v>
      </c>
      <c r="J18" s="10" t="str">
        <f t="shared" si="5"/>
        <v>260</v>
      </c>
      <c r="K18" s="10" t="str">
        <f t="shared" si="6"/>
        <v>460</v>
      </c>
    </row>
    <row r="19" spans="1:11" x14ac:dyDescent="0.3">
      <c r="A19" s="5" t="s">
        <v>5</v>
      </c>
      <c r="B19" s="5">
        <f>B18+3</f>
        <v>63</v>
      </c>
      <c r="C19" s="5">
        <f>C18+3</f>
        <v>127</v>
      </c>
      <c r="D19" s="5">
        <f>D18+31</f>
        <v>639</v>
      </c>
      <c r="E19" s="5">
        <f t="shared" ref="E19" si="7">D19+512</f>
        <v>1151</v>
      </c>
      <c r="G19" s="5" t="s">
        <v>5</v>
      </c>
      <c r="H19" s="5" t="str">
        <f>DEC2HEX((HEX2DEC(H18)+3))</f>
        <v>3F</v>
      </c>
      <c r="I19" s="5" t="str">
        <f>DEC2HEX((HEX2DEC(I18)+3))</f>
        <v>7F</v>
      </c>
      <c r="J19" s="5" t="str">
        <f>DEC2HEX((HEX2DEC(J18)+31))</f>
        <v>27F</v>
      </c>
      <c r="K19" s="5" t="str">
        <f>DEC2HEX((HEX2DEC(K18)+31))</f>
        <v>47F</v>
      </c>
    </row>
  </sheetData>
  <mergeCells count="2">
    <mergeCell ref="A1:E1"/>
    <mergeCell ref="G1:K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D0D4-5C44-4171-B634-E234493FF271}">
  <dimension ref="A1:H19"/>
  <sheetViews>
    <sheetView topLeftCell="A4" workbookViewId="0">
      <selection activeCell="F3" sqref="F3"/>
    </sheetView>
  </sheetViews>
  <sheetFormatPr defaultRowHeight="14.4" x14ac:dyDescent="0.3"/>
  <sheetData>
    <row r="1" spans="1:8" x14ac:dyDescent="0.3">
      <c r="A1" s="7" t="s">
        <v>6</v>
      </c>
      <c r="B1" s="7"/>
      <c r="C1" s="7"/>
      <c r="E1" s="7" t="s">
        <v>8</v>
      </c>
      <c r="F1" s="7"/>
      <c r="G1" s="7"/>
    </row>
    <row r="2" spans="1:8" x14ac:dyDescent="0.3">
      <c r="A2" s="3" t="s">
        <v>0</v>
      </c>
      <c r="B2" s="3" t="s">
        <v>1</v>
      </c>
      <c r="C2" s="3" t="s">
        <v>2</v>
      </c>
      <c r="E2" s="3" t="s">
        <v>0</v>
      </c>
      <c r="F2" s="3" t="s">
        <v>1</v>
      </c>
      <c r="G2" s="3" t="s">
        <v>2</v>
      </c>
    </row>
    <row r="3" spans="1:8" x14ac:dyDescent="0.3">
      <c r="A3" s="4">
        <v>1</v>
      </c>
      <c r="B3" s="4">
        <v>0</v>
      </c>
      <c r="C3" s="4" t="str">
        <f>DEC2HEX((HEX2DEC(B19)+1))</f>
        <v>400</v>
      </c>
      <c r="E3" s="4">
        <v>1</v>
      </c>
      <c r="F3" s="4">
        <v>0</v>
      </c>
      <c r="G3" s="4" t="str">
        <f>DEC2HEX((HEX2DEC(F19)+1))</f>
        <v>200</v>
      </c>
    </row>
    <row r="4" spans="1:8" x14ac:dyDescent="0.3">
      <c r="A4" s="8">
        <v>2</v>
      </c>
      <c r="B4" s="8" t="str">
        <f>DEC2HEX((HEX2DEC(B3)+64))</f>
        <v>40</v>
      </c>
      <c r="C4" s="8" t="str">
        <f>DEC2HEX((HEX2DEC(C3)+64))</f>
        <v>440</v>
      </c>
      <c r="D4" s="9"/>
      <c r="E4" s="8">
        <v>2</v>
      </c>
      <c r="F4" s="8" t="str">
        <f>DEC2HEX((HEX2DEC(F3)+32))</f>
        <v>20</v>
      </c>
      <c r="G4" s="8" t="str">
        <f>DEC2HEX((HEX2DEC(G3)+32))</f>
        <v>220</v>
      </c>
      <c r="H4" s="9"/>
    </row>
    <row r="5" spans="1:8" x14ac:dyDescent="0.3">
      <c r="A5" s="4">
        <v>3</v>
      </c>
      <c r="B5" s="4" t="str">
        <f t="shared" ref="B5:C18" si="0">DEC2HEX((HEX2DEC(B4)+64))</f>
        <v>80</v>
      </c>
      <c r="C5" s="4" t="str">
        <f t="shared" si="0"/>
        <v>480</v>
      </c>
      <c r="E5" s="4">
        <v>3</v>
      </c>
      <c r="F5" s="4" t="str">
        <f t="shared" ref="F5:G18" si="1">DEC2HEX((HEX2DEC(F4)+32))</f>
        <v>40</v>
      </c>
      <c r="G5" s="4" t="str">
        <f t="shared" si="1"/>
        <v>240</v>
      </c>
    </row>
    <row r="6" spans="1:8" x14ac:dyDescent="0.3">
      <c r="A6" s="4">
        <v>4</v>
      </c>
      <c r="B6" s="4" t="str">
        <f t="shared" si="0"/>
        <v>C0</v>
      </c>
      <c r="C6" s="4" t="str">
        <f t="shared" si="0"/>
        <v>4C0</v>
      </c>
      <c r="E6" s="4">
        <v>4</v>
      </c>
      <c r="F6" s="4" t="str">
        <f t="shared" si="1"/>
        <v>60</v>
      </c>
      <c r="G6" s="4" t="str">
        <f t="shared" si="1"/>
        <v>260</v>
      </c>
    </row>
    <row r="7" spans="1:8" x14ac:dyDescent="0.3">
      <c r="A7" s="4">
        <v>5</v>
      </c>
      <c r="B7" s="4" t="str">
        <f>DEC2HEX((HEX2DEC(B6)+64))</f>
        <v>100</v>
      </c>
      <c r="C7" s="4" t="str">
        <f t="shared" si="0"/>
        <v>500</v>
      </c>
      <c r="E7" s="4">
        <v>5</v>
      </c>
      <c r="F7" s="4" t="str">
        <f t="shared" si="1"/>
        <v>80</v>
      </c>
      <c r="G7" s="4" t="str">
        <f t="shared" si="1"/>
        <v>280</v>
      </c>
    </row>
    <row r="8" spans="1:8" x14ac:dyDescent="0.3">
      <c r="A8" s="4">
        <v>6</v>
      </c>
      <c r="B8" s="4" t="str">
        <f t="shared" ref="B8:B18" si="2">DEC2HEX((HEX2DEC(B7)+64))</f>
        <v>140</v>
      </c>
      <c r="C8" s="4" t="str">
        <f t="shared" si="0"/>
        <v>540</v>
      </c>
      <c r="E8" s="4">
        <v>6</v>
      </c>
      <c r="F8" s="4" t="str">
        <f t="shared" si="1"/>
        <v>A0</v>
      </c>
      <c r="G8" s="4" t="str">
        <f t="shared" si="1"/>
        <v>2A0</v>
      </c>
    </row>
    <row r="9" spans="1:8" x14ac:dyDescent="0.3">
      <c r="A9" s="4">
        <v>7</v>
      </c>
      <c r="B9" s="4" t="str">
        <f t="shared" si="2"/>
        <v>180</v>
      </c>
      <c r="C9" s="4" t="str">
        <f t="shared" si="0"/>
        <v>580</v>
      </c>
      <c r="E9" s="4">
        <v>7</v>
      </c>
      <c r="F9" s="4" t="str">
        <f t="shared" si="1"/>
        <v>C0</v>
      </c>
      <c r="G9" s="4" t="str">
        <f t="shared" si="1"/>
        <v>2C0</v>
      </c>
    </row>
    <row r="10" spans="1:8" x14ac:dyDescent="0.3">
      <c r="A10" s="4">
        <v>8</v>
      </c>
      <c r="B10" s="4" t="str">
        <f t="shared" si="2"/>
        <v>1C0</v>
      </c>
      <c r="C10" s="4" t="str">
        <f t="shared" si="0"/>
        <v>5C0</v>
      </c>
      <c r="E10" s="4">
        <v>8</v>
      </c>
      <c r="F10" s="4" t="str">
        <f t="shared" si="1"/>
        <v>E0</v>
      </c>
      <c r="G10" s="4" t="str">
        <f t="shared" si="1"/>
        <v>2E0</v>
      </c>
    </row>
    <row r="11" spans="1:8" x14ac:dyDescent="0.3">
      <c r="A11" s="4">
        <v>9</v>
      </c>
      <c r="B11" s="4" t="str">
        <f t="shared" si="2"/>
        <v>200</v>
      </c>
      <c r="C11" s="4" t="str">
        <f t="shared" si="0"/>
        <v>600</v>
      </c>
      <c r="E11" s="4">
        <v>9</v>
      </c>
      <c r="F11" s="4" t="str">
        <f t="shared" si="1"/>
        <v>100</v>
      </c>
      <c r="G11" s="4" t="str">
        <f t="shared" si="1"/>
        <v>300</v>
      </c>
    </row>
    <row r="12" spans="1:8" x14ac:dyDescent="0.3">
      <c r="A12" s="4">
        <v>10</v>
      </c>
      <c r="B12" s="4" t="str">
        <f t="shared" si="2"/>
        <v>240</v>
      </c>
      <c r="C12" s="4" t="str">
        <f t="shared" si="0"/>
        <v>640</v>
      </c>
      <c r="E12" s="4">
        <v>10</v>
      </c>
      <c r="F12" s="4" t="str">
        <f t="shared" si="1"/>
        <v>120</v>
      </c>
      <c r="G12" s="4" t="str">
        <f t="shared" si="1"/>
        <v>320</v>
      </c>
    </row>
    <row r="13" spans="1:8" x14ac:dyDescent="0.3">
      <c r="A13" s="4">
        <v>11</v>
      </c>
      <c r="B13" s="4" t="str">
        <f t="shared" si="2"/>
        <v>280</v>
      </c>
      <c r="C13" s="4" t="str">
        <f t="shared" si="0"/>
        <v>680</v>
      </c>
      <c r="E13" s="4">
        <v>11</v>
      </c>
      <c r="F13" s="4" t="str">
        <f t="shared" si="1"/>
        <v>140</v>
      </c>
      <c r="G13" s="4" t="str">
        <f t="shared" si="1"/>
        <v>340</v>
      </c>
    </row>
    <row r="14" spans="1:8" x14ac:dyDescent="0.3">
      <c r="A14" s="4">
        <v>12</v>
      </c>
      <c r="B14" s="4" t="str">
        <f t="shared" si="2"/>
        <v>2C0</v>
      </c>
      <c r="C14" s="4" t="str">
        <f t="shared" si="0"/>
        <v>6C0</v>
      </c>
      <c r="E14" s="4">
        <v>12</v>
      </c>
      <c r="F14" s="4" t="str">
        <f t="shared" si="1"/>
        <v>160</v>
      </c>
      <c r="G14" s="4" t="str">
        <f t="shared" si="1"/>
        <v>360</v>
      </c>
    </row>
    <row r="15" spans="1:8" x14ac:dyDescent="0.3">
      <c r="A15" s="4">
        <v>13</v>
      </c>
      <c r="B15" s="4" t="str">
        <f t="shared" si="2"/>
        <v>300</v>
      </c>
      <c r="C15" s="4" t="str">
        <f t="shared" si="0"/>
        <v>700</v>
      </c>
      <c r="E15" s="4">
        <v>13</v>
      </c>
      <c r="F15" s="4" t="str">
        <f t="shared" si="1"/>
        <v>180</v>
      </c>
      <c r="G15" s="4" t="str">
        <f t="shared" si="1"/>
        <v>380</v>
      </c>
    </row>
    <row r="16" spans="1:8" x14ac:dyDescent="0.3">
      <c r="A16" s="4">
        <v>14</v>
      </c>
      <c r="B16" s="4" t="str">
        <f t="shared" si="2"/>
        <v>340</v>
      </c>
      <c r="C16" s="4" t="str">
        <f t="shared" si="0"/>
        <v>740</v>
      </c>
      <c r="E16" s="4">
        <v>14</v>
      </c>
      <c r="F16" s="4" t="str">
        <f t="shared" si="1"/>
        <v>1A0</v>
      </c>
      <c r="G16" s="4" t="str">
        <f t="shared" si="1"/>
        <v>3A0</v>
      </c>
    </row>
    <row r="17" spans="1:7" x14ac:dyDescent="0.3">
      <c r="A17" s="4">
        <v>15</v>
      </c>
      <c r="B17" s="4" t="str">
        <f t="shared" si="2"/>
        <v>380</v>
      </c>
      <c r="C17" s="4" t="str">
        <f t="shared" si="0"/>
        <v>780</v>
      </c>
      <c r="E17" s="4">
        <v>15</v>
      </c>
      <c r="F17" s="4" t="str">
        <f t="shared" si="1"/>
        <v>1C0</v>
      </c>
      <c r="G17" s="4" t="str">
        <f t="shared" si="1"/>
        <v>3C0</v>
      </c>
    </row>
    <row r="18" spans="1:7" x14ac:dyDescent="0.3">
      <c r="A18" s="4">
        <v>16</v>
      </c>
      <c r="B18" s="4" t="str">
        <f t="shared" si="2"/>
        <v>3C0</v>
      </c>
      <c r="C18" s="4" t="str">
        <f t="shared" si="0"/>
        <v>7C0</v>
      </c>
      <c r="E18" s="4">
        <v>16</v>
      </c>
      <c r="F18" s="4" t="str">
        <f t="shared" si="1"/>
        <v>1E0</v>
      </c>
      <c r="G18" s="4" t="str">
        <f t="shared" si="1"/>
        <v>3E0</v>
      </c>
    </row>
    <row r="19" spans="1:7" x14ac:dyDescent="0.3">
      <c r="A19" s="5" t="s">
        <v>5</v>
      </c>
      <c r="B19" s="5" t="str">
        <f>DEC2HEX((HEX2DEC(B18)+63))</f>
        <v>3FF</v>
      </c>
      <c r="C19" s="5" t="str">
        <f>DEC2HEX((HEX2DEC(C18)+63))</f>
        <v>7FF</v>
      </c>
      <c r="E19" s="5" t="s">
        <v>5</v>
      </c>
      <c r="F19" s="5" t="str">
        <f>DEC2HEX((HEX2DEC(F18)+31))</f>
        <v>1FF</v>
      </c>
      <c r="G19" s="5" t="str">
        <f>DEC2HEX((HEX2DEC(G18)+31))</f>
        <v>3FF</v>
      </c>
    </row>
  </sheetData>
  <mergeCells count="2">
    <mergeCell ref="A1:C1"/>
    <mergeCell ref="E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Bits</vt:lpstr>
      <vt:lpstr>Words</vt:lpstr>
      <vt:lpstr>Bits + Words</vt:lpstr>
      <vt:lpstr>Colar</vt:lpstr>
    </vt:vector>
  </TitlesOfParts>
  <Company>Mitsubishi Electric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Cesar Brito Ribeiro</dc:creator>
  <cp:lastModifiedBy>Rodrigo Cesar Brito Ribeiro</cp:lastModifiedBy>
  <dcterms:created xsi:type="dcterms:W3CDTF">2022-11-25T12:20:45Z</dcterms:created>
  <dcterms:modified xsi:type="dcterms:W3CDTF">2023-01-11T16:25:55Z</dcterms:modified>
</cp:coreProperties>
</file>